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ITA MITRA\Downloads\"/>
    </mc:Choice>
  </mc:AlternateContent>
  <xr:revisionPtr revIDLastSave="0" documentId="13_ncr:1_{0361B82E-48F9-441C-A253-13EC1D4672F0}" xr6:coauthVersionLast="47" xr6:coauthVersionMax="47" xr10:uidLastSave="{00000000-0000-0000-0000-000000000000}"/>
  <bookViews>
    <workbookView xWindow="-110" yWindow="-110" windowWidth="19420" windowHeight="10300" xr2:uid="{1385B9A1-562E-4E9C-86A9-3B7ED8D27434}"/>
  </bookViews>
  <sheets>
    <sheet name="Sheet2" sheetId="2" r:id="rId1"/>
    <sheet name="Sheet1" sheetId="1" r:id="rId2"/>
  </sheets>
  <definedNames>
    <definedName name="_xlnm._FilterDatabase" localSheetId="1" hidden="1">Sheet1!$A$1:$I$16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" i="1" l="1"/>
  <c r="AA2" i="1"/>
  <c r="D19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J18" i="1" l="1"/>
</calcChain>
</file>

<file path=xl/sharedStrings.xml><?xml version="1.0" encoding="utf-8"?>
<sst xmlns="http://schemas.openxmlformats.org/spreadsheetml/2006/main" count="99" uniqueCount="46">
  <si>
    <t>Sale_ID</t>
  </si>
  <si>
    <t>Employee_ID</t>
  </si>
  <si>
    <t>Employee_Name</t>
  </si>
  <si>
    <t>Department</t>
  </si>
  <si>
    <t>Product</t>
  </si>
  <si>
    <t>Quantity</t>
  </si>
  <si>
    <t>Unit_Price</t>
  </si>
  <si>
    <t>Total_Amount</t>
  </si>
  <si>
    <t>City</t>
  </si>
  <si>
    <t>Rahul Mehta</t>
  </si>
  <si>
    <t>Sales</t>
  </si>
  <si>
    <t>Laptop</t>
  </si>
  <si>
    <t>Pune</t>
  </si>
  <si>
    <t>Priya Shah</t>
  </si>
  <si>
    <t>Smartphone</t>
  </si>
  <si>
    <t>Mumbai</t>
  </si>
  <si>
    <t>Headphones</t>
  </si>
  <si>
    <t>Amit Kumar</t>
  </si>
  <si>
    <t>Marketing</t>
  </si>
  <si>
    <t>Office Chair</t>
  </si>
  <si>
    <t>Delhi</t>
  </si>
  <si>
    <t>Sneha Rao</t>
  </si>
  <si>
    <t>Finance</t>
  </si>
  <si>
    <t>Desk</t>
  </si>
  <si>
    <t>Bangalore</t>
  </si>
  <si>
    <t>Monitor</t>
  </si>
  <si>
    <t>Karan Patel</t>
  </si>
  <si>
    <t>Keyboard</t>
  </si>
  <si>
    <t>Mouse</t>
  </si>
  <si>
    <t>Printer</t>
  </si>
  <si>
    <t>Backpack</t>
  </si>
  <si>
    <t>Tablet</t>
  </si>
  <si>
    <t>Sales_Status</t>
  </si>
  <si>
    <t>COUNTIF =</t>
  </si>
  <si>
    <t>Total Sales by Department</t>
  </si>
  <si>
    <t>Manager</t>
  </si>
  <si>
    <t>Rohit Sharma</t>
  </si>
  <si>
    <t>Neha Kapoor</t>
  </si>
  <si>
    <t>Anil Verma</t>
  </si>
  <si>
    <t>Pooja Mehta</t>
  </si>
  <si>
    <t>Ravi Shah</t>
  </si>
  <si>
    <t>Manager_VLOOKUP</t>
  </si>
  <si>
    <t>Manager_XLOOKUP</t>
  </si>
  <si>
    <t>Row Labels</t>
  </si>
  <si>
    <t>Grand Total</t>
  </si>
  <si>
    <t>Sum of 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</si>
</sst>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[WEEK 3.xlsx]Sheet2!PivotTable1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Sales Amount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Sheet2!$A$2:$A$5</c:f>
              <c:strCache>
                <c:ptCount val="3"/>
                <c:pt idx="0">
                  <c:v>Finance</c:v>
                </c:pt>
                <c:pt idx="1">
                  <c:v>Marketing</c:v>
                </c:pt>
                <c:pt idx="2">
                  <c:v>Sales</c:v>
                </c:pt>
              </c:strCache>
            </c:strRef>
          </c:cat>
          <c:val>
            <c:numRef>
              <c:f>Sheet2!$B$2:$B$5</c:f>
              <c:numCache>
                <c:formatCode>General</c:formatCode>
                <c:ptCount val="3"/>
                <c:pt idx="0">
                  <c:v>91000</c:v>
                </c:pt>
                <c:pt idx="1">
                  <c:v>50000</c:v>
                </c:pt>
                <c:pt idx="2">
                  <c:v>411100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71-4A7E-B658-E80A5A8D2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3738496"/>
        <c:axId val="260966352"/>
      </c:barChart>
      <c:catAx>
        <c:axId val="25373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966352"/>
        <c:crosses val="autoZero"/>
        <c:auto val="1"/>
        <c:lblAlgn val="ctr"/>
        <c:lblOffset val="100"/>
        <c:noMultiLvlLbl val="0"/>
      </c:catAx>
      <c:valAx>
        <c:axId val="26096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73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1</xdr:row>
      <xdr:rowOff>15240</xdr:rowOff>
    </xdr:from>
    <xdr:to>
      <xdr:col>9</xdr:col>
      <xdr:colOff>22860</xdr:colOff>
      <xdr:row>14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0E0305-36FC-05FD-6F84-21AC82890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51.989151041664" createdVersion="8" refreshedVersion="8" minRefreshableVersion="3" recordCount="15" xr:uid="{1FAAEA8A-1F72-43BF-8864-E3F37465B6B6}">
  <cacheSource type="worksheet">
    <worksheetSource ref="A1:J16" sheet="Sheet1"/>
  </cacheSource>
  <cacheFields count="10">
    <cacheField name="Sale_ID" numFmtId="0">
      <sharedItems containsSemiMixedTypes="0" containsString="0" containsNumber="1" containsInteger="1" minValue="1" maxValue="15"/>
    </cacheField>
    <cacheField name="Employee_ID" numFmtId="0">
      <sharedItems containsSemiMixedTypes="0" containsString="0" containsNumber="1" containsInteger="1" minValue="501" maxValue="505"/>
    </cacheField>
    <cacheField name="Employee_Name" numFmtId="0">
      <sharedItems/>
    </cacheField>
    <cacheField name="Department" numFmtId="0">
      <sharedItems count="3">
        <s v="Sales"/>
        <s v="Finance"/>
        <s v="Marketing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containsInteger="1" minValue="900" maxValue="55000"/>
    </cacheField>
    <cacheField name="Total_Amount" numFmtId="0">
      <sharedItems containsSemiMixedTypes="0" containsString="0" containsNumber="1" containsInteger="1" minValue="5400" maxValue="110000"/>
    </cacheField>
    <cacheField name="City" numFmtId="0">
      <sharedItems/>
    </cacheField>
    <cacheField name="Sales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n v="501"/>
    <s v="Rahul Mehta"/>
    <x v="0"/>
    <s v="Laptop"/>
    <n v="2"/>
    <n v="55000"/>
    <n v="110000"/>
    <s v="Pune"/>
    <s v="High"/>
  </r>
  <r>
    <n v="2"/>
    <n v="502"/>
    <s v="Priya Shah"/>
    <x v="0"/>
    <s v="Smartphone"/>
    <n v="3"/>
    <n v="30000"/>
    <n v="90000"/>
    <s v="Mumbai"/>
    <s v="High"/>
  </r>
  <r>
    <n v="15"/>
    <n v="505"/>
    <s v="Karan Patel"/>
    <x v="0"/>
    <s v="Smartphone"/>
    <n v="2"/>
    <n v="30000"/>
    <n v="60000"/>
    <s v="Mumbai"/>
    <s v="High"/>
  </r>
  <r>
    <n v="11"/>
    <n v="504"/>
    <s v="Sneha Rao"/>
    <x v="1"/>
    <s v="Laptop"/>
    <n v="1"/>
    <n v="55000"/>
    <n v="55000"/>
    <s v="Bangalore"/>
    <s v="High"/>
  </r>
  <r>
    <n v="13"/>
    <n v="501"/>
    <s v="Rahul Mehta"/>
    <x v="0"/>
    <s v="Monitor"/>
    <n v="3"/>
    <n v="15000"/>
    <n v="45000"/>
    <s v="Pune"/>
    <s v="Normal"/>
  </r>
  <r>
    <n v="12"/>
    <n v="502"/>
    <s v="Priya Shah"/>
    <x v="0"/>
    <s v="Tablet"/>
    <n v="2"/>
    <n v="20000"/>
    <n v="40000"/>
    <s v="Mumbai"/>
    <s v="Normal"/>
  </r>
  <r>
    <n v="5"/>
    <n v="504"/>
    <s v="Sneha Rao"/>
    <x v="1"/>
    <s v="Desk"/>
    <n v="3"/>
    <n v="12000"/>
    <n v="36000"/>
    <s v="Bangalore"/>
    <s v="Normal"/>
  </r>
  <r>
    <n v="6"/>
    <n v="502"/>
    <s v="Priya Shah"/>
    <x v="0"/>
    <s v="Monitor"/>
    <n v="2"/>
    <n v="15000"/>
    <n v="30000"/>
    <s v="Mumbai"/>
    <s v="Normal"/>
  </r>
  <r>
    <n v="9"/>
    <n v="503"/>
    <s v="Amit Kumar"/>
    <x v="2"/>
    <s v="Printer"/>
    <n v="2"/>
    <n v="12000"/>
    <n v="24000"/>
    <s v="Delhi"/>
    <s v="Normal"/>
  </r>
  <r>
    <n v="4"/>
    <n v="503"/>
    <s v="Amit Kumar"/>
    <x v="2"/>
    <s v="Office Chair"/>
    <n v="2"/>
    <n v="8500"/>
    <n v="17000"/>
    <s v="Delhi"/>
    <s v="Normal"/>
  </r>
  <r>
    <n v="3"/>
    <n v="501"/>
    <s v="Rahul Mehta"/>
    <x v="0"/>
    <s v="Headphones"/>
    <n v="5"/>
    <n v="2500"/>
    <n v="12500"/>
    <s v="Pune"/>
    <s v="Normal"/>
  </r>
  <r>
    <n v="10"/>
    <n v="505"/>
    <s v="Karan Patel"/>
    <x v="0"/>
    <s v="Backpack"/>
    <n v="5"/>
    <n v="2200"/>
    <n v="11000"/>
    <s v="Mumbai"/>
    <s v="Normal"/>
  </r>
  <r>
    <n v="14"/>
    <n v="503"/>
    <s v="Amit Kumar"/>
    <x v="2"/>
    <s v="Keyboard"/>
    <n v="5"/>
    <n v="1800"/>
    <n v="9000"/>
    <s v="Delhi"/>
    <s v="Normal"/>
  </r>
  <r>
    <n v="7"/>
    <n v="505"/>
    <s v="Karan Patel"/>
    <x v="0"/>
    <s v="Keyboard"/>
    <n v="4"/>
    <n v="1800"/>
    <n v="7200"/>
    <s v="Pune"/>
    <s v="Normal"/>
  </r>
  <r>
    <n v="8"/>
    <n v="501"/>
    <s v="Rahul Mehta"/>
    <x v="0"/>
    <s v="Mouse"/>
    <n v="6"/>
    <n v="900"/>
    <n v="5400"/>
    <s v="Pune"/>
    <s v="Norm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A110FF-EA70-4FC5-BE27-110E4E874E0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5" firstHeaderRow="1" firstDataRow="1" firstDataCol="1"/>
  <pivotFields count="10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B51CC-066F-4B45-80AD-5F73DE7497CC}">
  <dimension ref="A1:B5"/>
  <sheetViews>
    <sheetView tabSelected="1" workbookViewId="0">
      <selection activeCell="J13" sqref="J13"/>
    </sheetView>
  </sheetViews>
  <sheetFormatPr defaultRowHeight="14.5" x14ac:dyDescent="0.35"/>
  <cols>
    <col min="1" max="1" width="12.54296875" bestFit="1" customWidth="1"/>
    <col min="2" max="2" width="19.81640625" bestFit="1" customWidth="1"/>
  </cols>
  <sheetData>
    <row r="1" spans="1:2" x14ac:dyDescent="0.35">
      <c r="A1" s="7" t="s">
        <v>43</v>
      </c>
      <c r="B1" t="s">
        <v>45</v>
      </c>
    </row>
    <row r="2" spans="1:2" x14ac:dyDescent="0.35">
      <c r="A2" s="6" t="s">
        <v>22</v>
      </c>
      <c r="B2">
        <v>91000</v>
      </c>
    </row>
    <row r="3" spans="1:2" x14ac:dyDescent="0.35">
      <c r="A3" s="6" t="s">
        <v>18</v>
      </c>
      <c r="B3">
        <v>50000</v>
      </c>
    </row>
    <row r="4" spans="1:2" x14ac:dyDescent="0.35">
      <c r="A4" s="6" t="s">
        <v>10</v>
      </c>
      <c r="B4">
        <v>411100</v>
      </c>
    </row>
    <row r="5" spans="1:2" x14ac:dyDescent="0.35">
      <c r="A5" s="6" t="s">
        <v>44</v>
      </c>
      <c r="B5">
        <v>552100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67548-C991-4CA4-9BB3-527FF7E2E77C}">
  <dimension ref="A1:AA19"/>
  <sheetViews>
    <sheetView workbookViewId="0">
      <selection activeCell="Y17" sqref="Y17"/>
    </sheetView>
  </sheetViews>
  <sheetFormatPr defaultRowHeight="14.5" x14ac:dyDescent="0.35"/>
  <cols>
    <col min="1" max="1" width="12.36328125" customWidth="1"/>
    <col min="2" max="2" width="16.36328125" customWidth="1"/>
    <col min="3" max="3" width="20.6328125" customWidth="1"/>
    <col min="4" max="4" width="22.6328125" bestFit="1" customWidth="1"/>
    <col min="5" max="5" width="14.1796875" customWidth="1"/>
    <col min="6" max="6" width="13.1796875" customWidth="1"/>
    <col min="7" max="7" width="15.36328125" customWidth="1"/>
    <col min="8" max="8" width="18.1796875" customWidth="1"/>
    <col min="9" max="9" width="12.453125" customWidth="1"/>
    <col min="10" max="10" width="13" customWidth="1"/>
    <col min="20" max="20" width="16" customWidth="1"/>
    <col min="21" max="21" width="19.54296875" customWidth="1"/>
    <col min="22" max="22" width="22.6328125" customWidth="1"/>
    <col min="23" max="23" width="13" customWidth="1"/>
    <col min="27" max="27" width="20.81640625" customWidth="1"/>
  </cols>
  <sheetData>
    <row r="1" spans="1:2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32</v>
      </c>
      <c r="T1" s="1" t="s">
        <v>1</v>
      </c>
      <c r="U1" s="1" t="s">
        <v>2</v>
      </c>
      <c r="V1" s="1" t="s">
        <v>3</v>
      </c>
      <c r="W1" s="1" t="s">
        <v>35</v>
      </c>
      <c r="AA1" s="1" t="s">
        <v>41</v>
      </c>
    </row>
    <row r="2" spans="1:27" x14ac:dyDescent="0.35">
      <c r="A2" s="3">
        <v>1</v>
      </c>
      <c r="B2" s="3">
        <v>501</v>
      </c>
      <c r="C2" s="3" t="s">
        <v>9</v>
      </c>
      <c r="D2" s="3" t="s">
        <v>10</v>
      </c>
      <c r="E2" s="3" t="s">
        <v>11</v>
      </c>
      <c r="F2" s="3">
        <v>2</v>
      </c>
      <c r="G2" s="3">
        <v>55000</v>
      </c>
      <c r="H2" s="3">
        <v>110000</v>
      </c>
      <c r="I2" s="3" t="s">
        <v>12</v>
      </c>
      <c r="J2" t="str">
        <f>IF(H2&gt;50000,"High","Normal")</f>
        <v>High</v>
      </c>
      <c r="T2" s="6">
        <v>501</v>
      </c>
      <c r="U2" s="6" t="s">
        <v>9</v>
      </c>
      <c r="V2" s="6" t="s">
        <v>10</v>
      </c>
      <c r="W2" s="6" t="s">
        <v>36</v>
      </c>
      <c r="AA2" t="str">
        <f>VLOOKUP(B2,$T$2:$W$6,4,FALSE)</f>
        <v>Rohit Sharma</v>
      </c>
    </row>
    <row r="3" spans="1:27" x14ac:dyDescent="0.35">
      <c r="A3" s="3">
        <v>2</v>
      </c>
      <c r="B3" s="3">
        <v>502</v>
      </c>
      <c r="C3" s="3" t="s">
        <v>13</v>
      </c>
      <c r="D3" s="3" t="s">
        <v>10</v>
      </c>
      <c r="E3" s="3" t="s">
        <v>14</v>
      </c>
      <c r="F3" s="3">
        <v>3</v>
      </c>
      <c r="G3" s="3">
        <v>30000</v>
      </c>
      <c r="H3" s="3">
        <v>90000</v>
      </c>
      <c r="I3" s="3" t="s">
        <v>15</v>
      </c>
      <c r="J3" t="str">
        <f t="shared" ref="J3:J16" si="0">IF(H3&gt;50000,"High","Normal")</f>
        <v>High</v>
      </c>
      <c r="T3" s="6">
        <v>502</v>
      </c>
      <c r="U3" s="6" t="s">
        <v>13</v>
      </c>
      <c r="V3" s="6" t="s">
        <v>10</v>
      </c>
      <c r="W3" s="6" t="s">
        <v>37</v>
      </c>
    </row>
    <row r="4" spans="1:27" x14ac:dyDescent="0.35">
      <c r="A4" s="3">
        <v>15</v>
      </c>
      <c r="B4" s="3">
        <v>505</v>
      </c>
      <c r="C4" s="3" t="s">
        <v>26</v>
      </c>
      <c r="D4" s="3" t="s">
        <v>10</v>
      </c>
      <c r="E4" s="3" t="s">
        <v>14</v>
      </c>
      <c r="F4" s="3">
        <v>2</v>
      </c>
      <c r="G4" s="3">
        <v>30000</v>
      </c>
      <c r="H4" s="3">
        <v>60000</v>
      </c>
      <c r="I4" s="3" t="s">
        <v>15</v>
      </c>
      <c r="J4" t="str">
        <f t="shared" si="0"/>
        <v>High</v>
      </c>
      <c r="T4" s="6">
        <v>503</v>
      </c>
      <c r="U4" s="6" t="s">
        <v>17</v>
      </c>
      <c r="V4" s="6" t="s">
        <v>18</v>
      </c>
      <c r="W4" s="6" t="s">
        <v>38</v>
      </c>
      <c r="AA4" s="1" t="s">
        <v>42</v>
      </c>
    </row>
    <row r="5" spans="1:27" x14ac:dyDescent="0.35">
      <c r="A5" s="3">
        <v>11</v>
      </c>
      <c r="B5" s="3">
        <v>504</v>
      </c>
      <c r="C5" s="3" t="s">
        <v>21</v>
      </c>
      <c r="D5" s="3" t="s">
        <v>22</v>
      </c>
      <c r="E5" s="3" t="s">
        <v>11</v>
      </c>
      <c r="F5" s="3">
        <v>1</v>
      </c>
      <c r="G5" s="3">
        <v>55000</v>
      </c>
      <c r="H5" s="3">
        <v>55000</v>
      </c>
      <c r="I5" s="3" t="s">
        <v>24</v>
      </c>
      <c r="J5" t="str">
        <f t="shared" si="0"/>
        <v>High</v>
      </c>
      <c r="T5" s="6">
        <v>504</v>
      </c>
      <c r="U5" s="6" t="s">
        <v>21</v>
      </c>
      <c r="V5" s="6" t="s">
        <v>22</v>
      </c>
      <c r="W5" s="6" t="s">
        <v>39</v>
      </c>
      <c r="AA5" t="str">
        <f>_xlfn.XLOOKUP(501,T2:T6,W2:W6,"Not Found")</f>
        <v>Rohit Sharma</v>
      </c>
    </row>
    <row r="6" spans="1:27" x14ac:dyDescent="0.35">
      <c r="A6" s="3">
        <v>13</v>
      </c>
      <c r="B6" s="3">
        <v>501</v>
      </c>
      <c r="C6" s="3" t="s">
        <v>9</v>
      </c>
      <c r="D6" s="3" t="s">
        <v>10</v>
      </c>
      <c r="E6" s="3" t="s">
        <v>25</v>
      </c>
      <c r="F6" s="3">
        <v>3</v>
      </c>
      <c r="G6" s="3">
        <v>15000</v>
      </c>
      <c r="H6" s="3">
        <v>45000</v>
      </c>
      <c r="I6" s="3" t="s">
        <v>12</v>
      </c>
      <c r="J6" t="str">
        <f t="shared" si="0"/>
        <v>Normal</v>
      </c>
      <c r="T6" s="6">
        <v>505</v>
      </c>
      <c r="U6" s="6" t="s">
        <v>26</v>
      </c>
      <c r="V6" s="6" t="s">
        <v>10</v>
      </c>
      <c r="W6" s="6" t="s">
        <v>40</v>
      </c>
    </row>
    <row r="7" spans="1:27" x14ac:dyDescent="0.35">
      <c r="A7" s="3">
        <v>12</v>
      </c>
      <c r="B7" s="3">
        <v>502</v>
      </c>
      <c r="C7" s="3" t="s">
        <v>13</v>
      </c>
      <c r="D7" s="3" t="s">
        <v>10</v>
      </c>
      <c r="E7" s="3" t="s">
        <v>31</v>
      </c>
      <c r="F7" s="3">
        <v>2</v>
      </c>
      <c r="G7" s="3">
        <v>20000</v>
      </c>
      <c r="H7" s="3">
        <v>40000</v>
      </c>
      <c r="I7" s="3" t="s">
        <v>15</v>
      </c>
      <c r="J7" t="str">
        <f t="shared" si="0"/>
        <v>Normal</v>
      </c>
    </row>
    <row r="8" spans="1:27" x14ac:dyDescent="0.35">
      <c r="A8" s="3">
        <v>5</v>
      </c>
      <c r="B8" s="3">
        <v>504</v>
      </c>
      <c r="C8" s="3" t="s">
        <v>21</v>
      </c>
      <c r="D8" s="3" t="s">
        <v>22</v>
      </c>
      <c r="E8" s="3" t="s">
        <v>23</v>
      </c>
      <c r="F8" s="3">
        <v>3</v>
      </c>
      <c r="G8" s="3">
        <v>12000</v>
      </c>
      <c r="H8" s="3">
        <v>36000</v>
      </c>
      <c r="I8" s="3" t="s">
        <v>24</v>
      </c>
      <c r="J8" t="str">
        <f t="shared" si="0"/>
        <v>Normal</v>
      </c>
    </row>
    <row r="9" spans="1:27" x14ac:dyDescent="0.35">
      <c r="A9" s="3">
        <v>6</v>
      </c>
      <c r="B9" s="3">
        <v>502</v>
      </c>
      <c r="C9" s="3" t="s">
        <v>13</v>
      </c>
      <c r="D9" s="3" t="s">
        <v>10</v>
      </c>
      <c r="E9" s="3" t="s">
        <v>25</v>
      </c>
      <c r="F9" s="3">
        <v>2</v>
      </c>
      <c r="G9" s="3">
        <v>15000</v>
      </c>
      <c r="H9" s="3">
        <v>30000</v>
      </c>
      <c r="I9" s="3" t="s">
        <v>15</v>
      </c>
      <c r="J9" t="str">
        <f t="shared" si="0"/>
        <v>Normal</v>
      </c>
    </row>
    <row r="10" spans="1:27" x14ac:dyDescent="0.35">
      <c r="A10" s="3">
        <v>9</v>
      </c>
      <c r="B10" s="3">
        <v>503</v>
      </c>
      <c r="C10" s="3" t="s">
        <v>17</v>
      </c>
      <c r="D10" s="3" t="s">
        <v>18</v>
      </c>
      <c r="E10" s="3" t="s">
        <v>29</v>
      </c>
      <c r="F10" s="3">
        <v>2</v>
      </c>
      <c r="G10" s="3">
        <v>12000</v>
      </c>
      <c r="H10" s="3">
        <v>24000</v>
      </c>
      <c r="I10" s="3" t="s">
        <v>20</v>
      </c>
      <c r="J10" t="str">
        <f t="shared" si="0"/>
        <v>Normal</v>
      </c>
    </row>
    <row r="11" spans="1:27" x14ac:dyDescent="0.35">
      <c r="A11" s="3">
        <v>4</v>
      </c>
      <c r="B11" s="3">
        <v>503</v>
      </c>
      <c r="C11" s="3" t="s">
        <v>17</v>
      </c>
      <c r="D11" s="3" t="s">
        <v>18</v>
      </c>
      <c r="E11" s="3" t="s">
        <v>19</v>
      </c>
      <c r="F11" s="3">
        <v>2</v>
      </c>
      <c r="G11" s="3">
        <v>8500</v>
      </c>
      <c r="H11" s="3">
        <v>17000</v>
      </c>
      <c r="I11" s="3" t="s">
        <v>20</v>
      </c>
      <c r="J11" t="str">
        <f t="shared" si="0"/>
        <v>Normal</v>
      </c>
    </row>
    <row r="12" spans="1:27" x14ac:dyDescent="0.35">
      <c r="A12" s="3">
        <v>3</v>
      </c>
      <c r="B12" s="3">
        <v>501</v>
      </c>
      <c r="C12" s="3" t="s">
        <v>9</v>
      </c>
      <c r="D12" s="3" t="s">
        <v>10</v>
      </c>
      <c r="E12" s="3" t="s">
        <v>16</v>
      </c>
      <c r="F12" s="3">
        <v>5</v>
      </c>
      <c r="G12" s="3">
        <v>2500</v>
      </c>
      <c r="H12" s="3">
        <v>12500</v>
      </c>
      <c r="I12" s="3" t="s">
        <v>12</v>
      </c>
      <c r="J12" t="str">
        <f t="shared" si="0"/>
        <v>Normal</v>
      </c>
    </row>
    <row r="13" spans="1:27" x14ac:dyDescent="0.35">
      <c r="A13" s="3">
        <v>10</v>
      </c>
      <c r="B13" s="3">
        <v>505</v>
      </c>
      <c r="C13" s="3" t="s">
        <v>26</v>
      </c>
      <c r="D13" s="3" t="s">
        <v>10</v>
      </c>
      <c r="E13" s="3" t="s">
        <v>30</v>
      </c>
      <c r="F13" s="3">
        <v>5</v>
      </c>
      <c r="G13" s="3">
        <v>2200</v>
      </c>
      <c r="H13" s="3">
        <v>11000</v>
      </c>
      <c r="I13" s="3" t="s">
        <v>15</v>
      </c>
      <c r="J13" t="str">
        <f t="shared" si="0"/>
        <v>Normal</v>
      </c>
    </row>
    <row r="14" spans="1:27" x14ac:dyDescent="0.35">
      <c r="A14" s="3">
        <v>14</v>
      </c>
      <c r="B14" s="3">
        <v>503</v>
      </c>
      <c r="C14" s="3" t="s">
        <v>17</v>
      </c>
      <c r="D14" s="3" t="s">
        <v>18</v>
      </c>
      <c r="E14" s="3" t="s">
        <v>27</v>
      </c>
      <c r="F14" s="3">
        <v>5</v>
      </c>
      <c r="G14" s="3">
        <v>1800</v>
      </c>
      <c r="H14" s="3">
        <v>9000</v>
      </c>
      <c r="I14" s="3" t="s">
        <v>20</v>
      </c>
      <c r="J14" t="str">
        <f t="shared" si="0"/>
        <v>Normal</v>
      </c>
    </row>
    <row r="15" spans="1:27" x14ac:dyDescent="0.35">
      <c r="A15" s="3">
        <v>7</v>
      </c>
      <c r="B15" s="3">
        <v>505</v>
      </c>
      <c r="C15" s="3" t="s">
        <v>26</v>
      </c>
      <c r="D15" s="3" t="s">
        <v>10</v>
      </c>
      <c r="E15" s="3" t="s">
        <v>27</v>
      </c>
      <c r="F15" s="3">
        <v>4</v>
      </c>
      <c r="G15" s="3">
        <v>1800</v>
      </c>
      <c r="H15" s="3">
        <v>7200</v>
      </c>
      <c r="I15" s="3" t="s">
        <v>12</v>
      </c>
      <c r="J15" t="str">
        <f t="shared" si="0"/>
        <v>Normal</v>
      </c>
    </row>
    <row r="16" spans="1:27" x14ac:dyDescent="0.35">
      <c r="A16" s="3">
        <v>8</v>
      </c>
      <c r="B16" s="3">
        <v>501</v>
      </c>
      <c r="C16" s="3" t="s">
        <v>9</v>
      </c>
      <c r="D16" s="3" t="s">
        <v>10</v>
      </c>
      <c r="E16" s="3" t="s">
        <v>28</v>
      </c>
      <c r="F16" s="3">
        <v>6</v>
      </c>
      <c r="G16" s="3">
        <v>900</v>
      </c>
      <c r="H16" s="3">
        <v>5400</v>
      </c>
      <c r="I16" s="3" t="s">
        <v>12</v>
      </c>
      <c r="J16" t="str">
        <f t="shared" si="0"/>
        <v>Normal</v>
      </c>
    </row>
    <row r="18" spans="4:10" x14ac:dyDescent="0.35">
      <c r="D18" t="s">
        <v>34</v>
      </c>
      <c r="I18" s="4" t="s">
        <v>33</v>
      </c>
      <c r="J18" s="5">
        <f>COUNTIF(J2:J16,"High")</f>
        <v>4</v>
      </c>
    </row>
    <row r="19" spans="4:10" x14ac:dyDescent="0.35">
      <c r="D19">
        <f>SUMIF(D2:D16,"Sales",H2:H16)</f>
        <v>411100</v>
      </c>
    </row>
  </sheetData>
  <autoFilter ref="A1:I16" xr:uid="{A9867548-C991-4CA4-9BB3-527FF7E2E77C}"/>
  <sortState xmlns:xlrd2="http://schemas.microsoft.com/office/spreadsheetml/2017/richdata2" ref="A2:I16">
    <sortCondition descending="1" ref="H2:H16"/>
  </sortState>
  <conditionalFormatting sqref="H2:H16">
    <cfRule type="cellIs" dxfId="0" priority="1" operator="greaterThan">
      <formula>50000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Ishita Mitra</dc:creator>
  <cp:lastModifiedBy>Rishita Mitra</cp:lastModifiedBy>
  <dcterms:created xsi:type="dcterms:W3CDTF">2026-08-17T17:05:20Z</dcterms:created>
  <dcterms:modified xsi:type="dcterms:W3CDTF">2026-08-18T16:30:56Z</dcterms:modified>
</cp:coreProperties>
</file>